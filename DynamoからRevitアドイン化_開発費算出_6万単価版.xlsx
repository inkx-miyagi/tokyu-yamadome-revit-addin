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gi\Documents\New project\"/>
    </mc:Choice>
  </mc:AlternateContent>
  <xr:revisionPtr revIDLastSave="0" documentId="13_ncr:1_{27A321AA-5457-45A3-823D-D53B6C086503}" xr6:coauthVersionLast="47" xr6:coauthVersionMax="47" xr10:uidLastSave="{00000000-0000-0000-0000-000000000000}"/>
  <bookViews>
    <workbookView xWindow="555" yWindow="3150" windowWidth="18765" windowHeight="16740" xr2:uid="{129A0EC0-4C10-4025-A6B9-28885F0F2FBE}"/>
  </bookViews>
  <sheets>
    <sheet name="開発費算出" sheetId="3" r:id="rId1"/>
    <sheet name="工程表" sheetId="4" r:id="rId2"/>
    <sheet name="成果物" sheetId="5" r:id="rId3"/>
  </sheets>
  <definedNames>
    <definedName name="単価">開発費算出!$B$3</definedName>
    <definedName name="予備費率">開発費算出!$B$4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C20" i="3"/>
  <c r="B25" i="3" s="1"/>
  <c r="B26" i="3" s="1"/>
  <c r="E20" i="3" l="1"/>
  <c r="C25" i="3" s="1"/>
  <c r="C26" i="3" s="1"/>
  <c r="B27" i="3"/>
  <c r="C27" i="3" l="1"/>
</calcChain>
</file>

<file path=xl/sharedStrings.xml><?xml version="1.0" encoding="utf-8"?>
<sst xmlns="http://schemas.openxmlformats.org/spreadsheetml/2006/main" count="157" uniqueCount="79">
  <si>
    <t>積算条件</t>
  </si>
  <si>
    <t>単価</t>
  </si>
  <si>
    <t>仕様調整・検証予備費</t>
  </si>
  <si>
    <t>金額</t>
  </si>
  <si>
    <t>工程</t>
  </si>
  <si>
    <t>期間目安</t>
  </si>
  <si>
    <t>想定人工</t>
  </si>
  <si>
    <t>事前調査・仕様整理</t>
  </si>
  <si>
    <t>2週間</t>
  </si>
  <si>
    <t>アドイン基盤構築</t>
  </si>
  <si>
    <t>3週間</t>
  </si>
  <si>
    <t>初期設定・表示設定</t>
  </si>
  <si>
    <t>掘削基本機能</t>
  </si>
  <si>
    <t>4週間</t>
  </si>
  <si>
    <t>山留め部材作成系</t>
  </si>
  <si>
    <t>6週間</t>
  </si>
  <si>
    <t>調整・構台・埋戻し系</t>
  </si>
  <si>
    <t>集計機能</t>
  </si>
  <si>
    <t>図面化機能</t>
  </si>
  <si>
    <t>5週間</t>
  </si>
  <si>
    <t>総合検証・不具合修正</t>
  </si>
  <si>
    <t>マニュアル・納品準備</t>
  </si>
  <si>
    <t>合計</t>
  </si>
  <si>
    <t>提示額案</t>
  </si>
  <si>
    <t>区分</t>
  </si>
  <si>
    <t>人工</t>
  </si>
  <si>
    <t>開発費</t>
  </si>
  <si>
    <t>合計提示額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</si>
  <si>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</si>
  <si>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</si>
  <si>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</si>
  <si>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</si>
  <si>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</si>
  <si>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</si>
  <si>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</si>
  <si>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</si>
  <si>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</si>
  <si>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</si>
  <si>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</si>
  <si>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</si>
  <si>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</si>
  <si>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</si>
  <si>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</si>
  <si>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</si>
  <si>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</si>
  <si>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</si>
  <si>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</si>
  <si>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</si>
  <si>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</si>
  <si>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</si>
  <si>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</si>
  <si>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</si>
  <si>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■</t>
  </si>
  <si>
    <t>既存Dynamo調査結果、移植対象一覧、優先順位案</t>
  </si>
  <si>
    <t>Revitアドイン基盤、リボン構成、共通処理</t>
  </si>
  <si>
    <t>初期設定、表示設定、掘削基本機能の試作版</t>
  </si>
  <si>
    <t>山留め部材作成系の試作版</t>
  </si>
  <si>
    <t>調整・構台・埋戻し・集計機能の試作版</t>
  </si>
  <si>
    <t>図面化機能の試作版</t>
  </si>
  <si>
    <t>実案件データによる総合検証版</t>
  </si>
  <si>
    <t>納品版、操作マニュアル、導入手順書</t>
  </si>
  <si>
    <t>予備費率(仕様調整・検証予備費)</t>
    <phoneticPr fontId="1"/>
  </si>
  <si>
    <t>単価(円 / 人工)</t>
    <phoneticPr fontId="1"/>
  </si>
  <si>
    <t>対象(既存Dynamo一式のRevitアドイン化)</t>
    <phoneticPr fontId="1"/>
  </si>
  <si>
    <t>対象(Revit 2023想定)</t>
    <phoneticPr fontId="1"/>
  </si>
  <si>
    <t>金額(税別)</t>
    <phoneticPr fontId="1"/>
  </si>
  <si>
    <t>DynamoからRevitアドイン化 開発費算出</t>
    <phoneticPr fontId="1"/>
  </si>
  <si>
    <t>20.0人工</t>
  </si>
  <si>
    <t>27.0人工</t>
  </si>
  <si>
    <t>40.0人工</t>
  </si>
  <si>
    <t>DynamoからRevitアドイン化 工程表</t>
    <phoneticPr fontId="5"/>
  </si>
  <si>
    <t>主な成果物</t>
    <rPh sb="0" eb="1">
      <t>オモ</t>
    </rPh>
    <rPh sb="2" eb="5">
      <t>セイカブツ</t>
    </rPh>
    <phoneticPr fontId="5"/>
  </si>
  <si>
    <t>アドイン基盤構築</t>
    <phoneticPr fontId="1"/>
  </si>
  <si>
    <t>10.0人工</t>
  </si>
  <si>
    <t>16.0人工</t>
  </si>
  <si>
    <t>24.0人工</t>
  </si>
  <si>
    <t>30.0人工</t>
  </si>
  <si>
    <t>250.0人工</t>
  </si>
  <si>
    <t>23週間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</si>
</sst>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円&quot;"/>
    <numFmt numFmtId="177" formatCode="0.0&quot;人&quot;&quot;工&quot;"/>
  </numFmts>
  <fonts count="6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0"/>
      <color theme="1"/>
      <name val="Yu Gothic"/>
      <family val="3"/>
      <charset val="128"/>
    </font>
    <font>
      <b/>
      <sz val="10"/>
      <color theme="1"/>
      <name val="Yu Gothic"/>
      <family val="3"/>
      <charset val="128"/>
    </font>
    <font>
      <sz val="10"/>
      <color rgb="FFFFFFFF"/>
      <name val="Yu Gothic"/>
      <family val="3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2" fillId="2" borderId="1" xfId="0" applyNumberFormat="1" applyFont="1" applyFill="1" applyBorder="1">
      <alignment vertical="center"/>
    </xf>
    <xf numFmtId="9" fontId="2" fillId="2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5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158940</xdr:colOff>
          <xdr:row>14</xdr:row>
          <xdr:rowOff>76200</xdr:rowOff>
        </xdr:from>
        <xdr:to>
          <xdr:col>18</xdr:col>
          <xdr:colOff>304800</xdr:colOff>
          <xdr:row>23</xdr:row>
          <xdr:rowOff>19050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462E56E9-00DF-EBD6-1110-82B21E0DB4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成果物!$A$1:$B$9" spid="_x0000_s20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92715" y="3409950"/>
              <a:ext cx="3860610" cy="2085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4018-52E1-42E7-AFEA-FDC3A2D5909B}">
  <dimension ref="A1:E27"/>
  <sheetViews>
    <sheetView tabSelected="1" workbookViewId="0">
      <selection sqref="A1:E1"/>
    </sheetView>
  </sheetViews>
  <sheetFormatPr defaultRowHeight="18.75"/>
  <cols>
    <col min="1" max="1" width="32.625" customWidth="1"/>
    <col min="2" max="5" width="12.625" customWidth="1"/>
  </cols>
  <sheetData>
    <row r="1" spans="1:5">
      <c r="A1" s="14" t="s">
        <v>66</v>
      </c>
      <c r="B1" s="15"/>
      <c r="C1" s="15"/>
      <c r="D1" s="15"/>
      <c r="E1" s="15"/>
    </row>
    <row r="2" spans="1:5">
      <c r="A2" s="2" t="s">
        <v>0</v>
      </c>
      <c r="B2" s="1"/>
      <c r="C2" s="1"/>
      <c r="D2" s="1"/>
      <c r="E2" s="1"/>
    </row>
    <row r="3" spans="1:5">
      <c r="A3" s="1" t="s">
        <v>62</v>
      </c>
      <c r="B3" s="3">
        <v>60000</v>
      </c>
      <c r="C3" s="1"/>
      <c r="D3" s="1"/>
      <c r="E3" s="1"/>
    </row>
    <row r="4" spans="1:5">
      <c r="A4" s="1" t="s">
        <v>61</v>
      </c>
      <c r="B4" s="4">
        <v>0.1</v>
      </c>
      <c r="C4" s="1"/>
      <c r="D4" s="1"/>
      <c r="E4" s="1"/>
    </row>
    <row r="5" spans="1:5">
      <c r="A5" s="1" t="s">
        <v>63</v>
      </c>
      <c r="B5" s="1"/>
      <c r="C5" s="1"/>
      <c r="D5" s="1"/>
      <c r="E5" s="1"/>
    </row>
    <row r="6" spans="1:5">
      <c r="A6" s="1" t="s">
        <v>64</v>
      </c>
      <c r="B6" s="1"/>
      <c r="C6" s="1"/>
      <c r="D6" s="1"/>
      <c r="E6" s="1"/>
    </row>
    <row r="7" spans="1:5">
      <c r="A7" s="1" t="s">
        <v>65</v>
      </c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0" t="s">
        <v>4</v>
      </c>
      <c r="B9" s="13" t="s">
        <v>5</v>
      </c>
      <c r="C9" s="13" t="s">
        <v>6</v>
      </c>
      <c r="D9" s="13" t="s">
        <v>1</v>
      </c>
      <c r="E9" s="13" t="s">
        <v>3</v>
      </c>
    </row>
    <row r="10" spans="1:5">
      <c r="A10" s="1" t="s">
        <v>7</v>
      </c>
      <c r="B10" s="1" t="s">
        <v>8</v>
      </c>
      <c r="C10" s="5">
        <v>10</v>
      </c>
      <c r="D10" s="6">
        <f t="shared" ref="D10:D19" si="0">単価</f>
        <v>60000</v>
      </c>
      <c r="E10" s="6">
        <f t="shared" ref="E10:E19" si="1">C10*D10</f>
        <v>600000</v>
      </c>
    </row>
    <row r="11" spans="1:5">
      <c r="A11" s="1" t="s">
        <v>72</v>
      </c>
      <c r="B11" s="1" t="s">
        <v>10</v>
      </c>
      <c r="C11" s="5">
        <v>16</v>
      </c>
      <c r="D11" s="6">
        <f t="shared" si="0"/>
        <v>60000</v>
      </c>
      <c r="E11" s="6">
        <f t="shared" si="1"/>
        <v>960000</v>
      </c>
    </row>
    <row r="12" spans="1:5">
      <c r="A12" s="1" t="s">
        <v>11</v>
      </c>
      <c r="B12" s="1" t="s">
        <v>10</v>
      </c>
      <c r="C12" s="5">
        <v>20</v>
      </c>
      <c r="D12" s="6">
        <f t="shared" si="0"/>
        <v>60000</v>
      </c>
      <c r="E12" s="6">
        <f t="shared" si="1"/>
        <v>1200000</v>
      </c>
    </row>
    <row r="13" spans="1:5">
      <c r="A13" s="1" t="s">
        <v>12</v>
      </c>
      <c r="B13" s="1" t="s">
        <v>13</v>
      </c>
      <c r="C13" s="5">
        <v>27</v>
      </c>
      <c r="D13" s="6">
        <f t="shared" si="0"/>
        <v>60000</v>
      </c>
      <c r="E13" s="6">
        <f t="shared" si="1"/>
        <v>1620000</v>
      </c>
    </row>
    <row r="14" spans="1:5">
      <c r="A14" s="1" t="s">
        <v>14</v>
      </c>
      <c r="B14" s="1" t="s">
        <v>15</v>
      </c>
      <c r="C14" s="5">
        <v>40</v>
      </c>
      <c r="D14" s="6">
        <f t="shared" si="0"/>
        <v>60000</v>
      </c>
      <c r="E14" s="6">
        <f t="shared" si="1"/>
        <v>2400000</v>
      </c>
    </row>
    <row r="15" spans="1:5">
      <c r="A15" s="1" t="s">
        <v>16</v>
      </c>
      <c r="B15" s="1" t="s">
        <v>15</v>
      </c>
      <c r="C15" s="5">
        <v>40</v>
      </c>
      <c r="D15" s="6">
        <f t="shared" si="0"/>
        <v>60000</v>
      </c>
      <c r="E15" s="6">
        <f t="shared" si="1"/>
        <v>2400000</v>
      </c>
    </row>
    <row r="16" spans="1:5">
      <c r="A16" s="1" t="s">
        <v>17</v>
      </c>
      <c r="B16" s="1" t="s">
        <v>13</v>
      </c>
      <c r="C16" s="5">
        <v>27</v>
      </c>
      <c r="D16" s="6">
        <f t="shared" si="0"/>
        <v>60000</v>
      </c>
      <c r="E16" s="6">
        <f t="shared" si="1"/>
        <v>1620000</v>
      </c>
    </row>
    <row r="17" spans="1:5">
      <c r="A17" s="1" t="s">
        <v>18</v>
      </c>
      <c r="B17" s="1" t="s">
        <v>13</v>
      </c>
      <c r="C17" s="5">
        <v>24</v>
      </c>
      <c r="D17" s="6">
        <f t="shared" si="0"/>
        <v>60000</v>
      </c>
      <c r="E17" s="6">
        <f t="shared" si="1"/>
        <v>1440000</v>
      </c>
    </row>
    <row r="18" spans="1:5">
      <c r="A18" s="1" t="s">
        <v>20</v>
      </c>
      <c r="B18" s="1" t="s">
        <v>19</v>
      </c>
      <c r="C18" s="5">
        <v>30</v>
      </c>
      <c r="D18" s="6">
        <f t="shared" si="0"/>
        <v>60000</v>
      </c>
      <c r="E18" s="6">
        <f t="shared" si="1"/>
        <v>1800000</v>
      </c>
    </row>
    <row r="19" spans="1:5">
      <c r="A19" s="1" t="s">
        <v>21</v>
      </c>
      <c r="B19" s="1" t="s">
        <v>10</v>
      </c>
      <c r="C19" s="5">
        <v>16</v>
      </c>
      <c r="D19" s="6">
        <f t="shared" si="0"/>
        <v>60000</v>
      </c>
      <c r="E19" s="6">
        <f t="shared" si="1"/>
        <v>960000</v>
      </c>
    </row>
    <row r="20" spans="1:5">
      <c r="A20" s="2" t="s">
        <v>22</v>
      </c>
      <c r="B20" s="1"/>
      <c r="C20" s="5">
        <f>SUM(C10:C19)</f>
        <v>250</v>
      </c>
      <c r="D20" s="6"/>
      <c r="E20" s="6">
        <f>SUM(E10:E19)</f>
        <v>15000000</v>
      </c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2" t="s">
        <v>23</v>
      </c>
      <c r="B23" s="1"/>
      <c r="C23" s="1"/>
      <c r="D23" s="1"/>
      <c r="E23" s="1"/>
    </row>
    <row r="24" spans="1:5">
      <c r="A24" s="10" t="s">
        <v>24</v>
      </c>
      <c r="B24" s="10" t="s">
        <v>25</v>
      </c>
      <c r="C24" s="10" t="s">
        <v>3</v>
      </c>
      <c r="D24" s="1"/>
      <c r="E24" s="1"/>
    </row>
    <row r="25" spans="1:5">
      <c r="A25" s="1" t="s">
        <v>26</v>
      </c>
      <c r="B25" s="5">
        <f>C20</f>
        <v>250</v>
      </c>
      <c r="C25" s="6">
        <f>E20</f>
        <v>15000000</v>
      </c>
      <c r="D25" s="1"/>
      <c r="E25" s="1"/>
    </row>
    <row r="26" spans="1:5">
      <c r="A26" s="1" t="s">
        <v>2</v>
      </c>
      <c r="B26" s="5">
        <f>B25*B4</f>
        <v>25</v>
      </c>
      <c r="C26" s="6">
        <f>C25*B4</f>
        <v>1500000</v>
      </c>
      <c r="D26" s="1"/>
      <c r="E26" s="1"/>
    </row>
    <row r="27" spans="1:5">
      <c r="A27" s="2" t="s">
        <v>27</v>
      </c>
      <c r="B27" s="7">
        <f>SUM(B25:B26)</f>
        <v>275</v>
      </c>
      <c r="C27" s="8">
        <f>SUM(C25:C26)</f>
        <v>16500000</v>
      </c>
      <c r="D27" s="1"/>
      <c r="E27" s="1"/>
    </row>
  </sheetData>
  <mergeCells count="1">
    <mergeCell ref="A1:E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8A3F-43E0-4A3E-92B7-BF8D8CD407B5}">
  <dimension ref="A1:Z13"/>
  <sheetViews>
    <sheetView zoomScaleNormal="100" workbookViewId="0">
      <selection activeCell="A2" sqref="A2"/>
    </sheetView>
  </sheetViews>
  <sheetFormatPr defaultRowHeight="18.75"/>
  <cols>
    <col min="1" max="1" width="18.375" customWidth="1"/>
    <col min="2" max="2" width="8.625" customWidth="1"/>
    <col min="3" max="11" width="3.875" bestFit="1" customWidth="1"/>
    <col min="12" max="25" width="4.75" bestFit="1" customWidth="1"/>
    <col min="26" max="26" width="8" bestFit="1" customWidth="1"/>
  </cols>
  <sheetData>
    <row r="1" spans="1:26">
      <c r="A1" s="14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0" t="s">
        <v>4</v>
      </c>
      <c r="B2" s="11" t="s">
        <v>6</v>
      </c>
      <c r="C2" s="11" t="s">
        <v>28</v>
      </c>
      <c r="D2" s="11" t="s">
        <v>29</v>
      </c>
      <c r="E2" s="11" t="s">
        <v>30</v>
      </c>
      <c r="F2" s="11" t="s">
        <v>31</v>
      </c>
      <c r="G2" s="11" t="s">
        <v>32</v>
      </c>
      <c r="H2" s="11" t="s">
        <v>33</v>
      </c>
      <c r="I2" s="11" t="s">
        <v>34</v>
      </c>
      <c r="J2" s="11" t="s">
        <v>35</v>
      </c>
      <c r="K2" s="11" t="s">
        <v>36</v>
      </c>
      <c r="L2" s="11" t="s">
        <v>37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1" t="s">
        <v>48</v>
      </c>
      <c r="X2" s="11" t="s">
        <v>49</v>
      </c>
      <c r="Y2" s="11" t="s">
        <v>50</v>
      </c>
      <c r="Z2" s="11" t="s">
        <v>5</v>
      </c>
    </row>
    <row r="3" spans="1:26">
      <c r="A3" s="1" t="s">
        <v>7</v>
      </c>
      <c r="B3" s="1" t="s">
        <v>73</v>
      </c>
      <c r="C3" s="9" t="s">
        <v>52</v>
      </c>
      <c r="D3" s="9" t="s">
        <v>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 t="s">
        <v>8</v>
      </c>
    </row>
    <row r="4" spans="1:26">
      <c r="A4" s="1" t="s">
        <v>9</v>
      </c>
      <c r="B4" s="1" t="s">
        <v>74</v>
      </c>
      <c r="C4" s="1"/>
      <c r="D4" s="9" t="s">
        <v>52</v>
      </c>
      <c r="E4" s="9" t="s">
        <v>52</v>
      </c>
      <c r="F4" s="9" t="s">
        <v>52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 t="s">
        <v>10</v>
      </c>
    </row>
    <row r="5" spans="1:26">
      <c r="A5" s="1" t="s">
        <v>11</v>
      </c>
      <c r="B5" s="1" t="s">
        <v>67</v>
      </c>
      <c r="C5" s="1"/>
      <c r="D5" s="1"/>
      <c r="E5" s="1"/>
      <c r="F5" s="9" t="s">
        <v>52</v>
      </c>
      <c r="G5" s="9" t="s">
        <v>52</v>
      </c>
      <c r="H5" s="9" t="s">
        <v>52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 t="s">
        <v>10</v>
      </c>
    </row>
    <row r="6" spans="1:26">
      <c r="A6" s="1" t="s">
        <v>12</v>
      </c>
      <c r="B6" s="1" t="s">
        <v>68</v>
      </c>
      <c r="C6" s="1"/>
      <c r="D6" s="1"/>
      <c r="E6" s="1"/>
      <c r="F6" s="1"/>
      <c r="G6" s="9" t="s">
        <v>52</v>
      </c>
      <c r="H6" s="9" t="s">
        <v>52</v>
      </c>
      <c r="I6" s="9" t="s">
        <v>52</v>
      </c>
      <c r="J6" s="9" t="s">
        <v>52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 t="s">
        <v>13</v>
      </c>
    </row>
    <row r="7" spans="1:26">
      <c r="A7" s="1" t="s">
        <v>14</v>
      </c>
      <c r="B7" s="1" t="s">
        <v>69</v>
      </c>
      <c r="C7" s="1"/>
      <c r="D7" s="1"/>
      <c r="E7" s="1"/>
      <c r="F7" s="1"/>
      <c r="G7" s="1"/>
      <c r="H7" s="1"/>
      <c r="I7" s="9" t="s">
        <v>52</v>
      </c>
      <c r="J7" s="9" t="s">
        <v>52</v>
      </c>
      <c r="K7" s="9" t="s">
        <v>52</v>
      </c>
      <c r="L7" s="9" t="s">
        <v>52</v>
      </c>
      <c r="M7" s="9" t="s">
        <v>52</v>
      </c>
      <c r="N7" s="9" t="s">
        <v>52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 t="s">
        <v>15</v>
      </c>
    </row>
    <row r="8" spans="1:26">
      <c r="A8" s="1" t="s">
        <v>16</v>
      </c>
      <c r="B8" s="1" t="s">
        <v>69</v>
      </c>
      <c r="C8" s="1"/>
      <c r="D8" s="1"/>
      <c r="E8" s="1"/>
      <c r="F8" s="1"/>
      <c r="G8" s="1"/>
      <c r="H8" s="1"/>
      <c r="I8" s="1"/>
      <c r="J8" s="1"/>
      <c r="K8" s="1"/>
      <c r="L8" s="9" t="s">
        <v>52</v>
      </c>
      <c r="M8" s="9" t="s">
        <v>52</v>
      </c>
      <c r="N8" s="9" t="s">
        <v>52</v>
      </c>
      <c r="O8" s="9" t="s">
        <v>52</v>
      </c>
      <c r="P8" s="9" t="s">
        <v>52</v>
      </c>
      <c r="Q8" s="9" t="s">
        <v>52</v>
      </c>
      <c r="R8" s="1"/>
      <c r="S8" s="1"/>
      <c r="T8" s="1"/>
      <c r="U8" s="1"/>
      <c r="V8" s="1"/>
      <c r="W8" s="1"/>
      <c r="X8" s="1"/>
      <c r="Y8" s="1"/>
      <c r="Z8" s="12" t="s">
        <v>15</v>
      </c>
    </row>
    <row r="9" spans="1:26">
      <c r="A9" s="1" t="s">
        <v>17</v>
      </c>
      <c r="B9" s="1" t="s">
        <v>68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 t="s">
        <v>52</v>
      </c>
      <c r="P9" s="9" t="s">
        <v>52</v>
      </c>
      <c r="Q9" s="9" t="s">
        <v>52</v>
      </c>
      <c r="R9" s="9" t="s">
        <v>52</v>
      </c>
      <c r="S9" s="1"/>
      <c r="T9" s="1"/>
      <c r="U9" s="1"/>
      <c r="V9" s="1"/>
      <c r="W9" s="1"/>
      <c r="X9" s="1"/>
      <c r="Y9" s="1"/>
      <c r="Z9" s="12" t="s">
        <v>13</v>
      </c>
    </row>
    <row r="10" spans="1:26">
      <c r="A10" s="1" t="s">
        <v>18</v>
      </c>
      <c r="B10" s="1" t="s">
        <v>75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 t="s">
        <v>52</v>
      </c>
      <c r="Q10" s="9" t="s">
        <v>52</v>
      </c>
      <c r="R10" s="9" t="s">
        <v>52</v>
      </c>
      <c r="S10" s="9" t="s">
        <v>52</v>
      </c>
      <c r="T10" s="1"/>
      <c r="U10" s="1"/>
      <c r="V10" s="1"/>
      <c r="W10" s="1"/>
      <c r="X10" s="1"/>
      <c r="Y10" s="1"/>
      <c r="Z10" s="12" t="s">
        <v>13</v>
      </c>
    </row>
    <row r="11" spans="1:26">
      <c r="A11" s="1" t="s">
        <v>20</v>
      </c>
      <c r="B11" s="1" t="s">
        <v>76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 t="s">
        <v>52</v>
      </c>
      <c r="T11" s="9" t="s">
        <v>52</v>
      </c>
      <c r="U11" s="9" t="s">
        <v>52</v>
      </c>
      <c r="V11" s="9" t="s">
        <v>52</v>
      </c>
      <c r="W11" s="9" t="s">
        <v>52</v>
      </c>
      <c r="X11" s="1"/>
      <c r="Y11" s="1"/>
      <c r="Z11" s="12" t="s">
        <v>19</v>
      </c>
    </row>
    <row r="12" spans="1:26">
      <c r="A12" s="1" t="s">
        <v>21</v>
      </c>
      <c r="B12" s="1" t="s">
        <v>74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9" t="s">
        <v>52</v>
      </c>
      <c r="X12" s="9" t="s">
        <v>52</v>
      </c>
      <c r="Y12" s="9" t="s">
        <v>52</v>
      </c>
      <c r="Z12" s="12" t="s">
        <v>10</v>
      </c>
    </row>
    <row r="13" spans="1:26">
      <c r="A13" s="2" t="s">
        <v>22</v>
      </c>
      <c r="B13" s="1" t="s">
        <v>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 t="s">
        <v>78</v>
      </c>
    </row>
  </sheetData>
  <mergeCells count="1">
    <mergeCell ref="A1:Z1"/>
  </mergeCells>
  <phoneticPr fontId="5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5F8C-F66C-4207-A529-0FC89421D7ED}">
  <dimension ref="A1:J9"/>
  <sheetViews>
    <sheetView workbookViewId="0"/>
  </sheetViews>
  <sheetFormatPr defaultRowHeight="18.75"/>
  <cols>
    <col min="1" max="1" width="4.75" style="18" bestFit="1" customWidth="1"/>
    <col min="2" max="2" width="41.625" bestFit="1" customWidth="1"/>
  </cols>
  <sheetData>
    <row r="1" spans="1:10">
      <c r="A1" s="20"/>
      <c r="B1" s="20" t="s">
        <v>71</v>
      </c>
    </row>
    <row r="2" spans="1:10">
      <c r="A2" s="19" t="s">
        <v>29</v>
      </c>
      <c r="B2" s="17" t="s">
        <v>53</v>
      </c>
      <c r="C2" s="16"/>
      <c r="D2" s="16"/>
      <c r="E2" s="16"/>
      <c r="F2" s="16"/>
      <c r="G2" s="16"/>
      <c r="H2" s="16"/>
      <c r="I2" s="16"/>
      <c r="J2" s="16"/>
    </row>
    <row r="3" spans="1:10">
      <c r="A3" s="19" t="s">
        <v>31</v>
      </c>
      <c r="B3" s="17" t="s">
        <v>54</v>
      </c>
      <c r="C3" s="16"/>
      <c r="D3" s="16"/>
      <c r="E3" s="16"/>
      <c r="F3" s="16"/>
      <c r="G3" s="16"/>
      <c r="H3" s="16"/>
      <c r="I3" s="16"/>
      <c r="J3" s="16"/>
    </row>
    <row r="4" spans="1:10">
      <c r="A4" s="19" t="s">
        <v>35</v>
      </c>
      <c r="B4" s="17" t="s">
        <v>55</v>
      </c>
      <c r="C4" s="16"/>
      <c r="D4" s="16"/>
      <c r="E4" s="16"/>
      <c r="F4" s="16"/>
      <c r="G4" s="16"/>
      <c r="H4" s="16"/>
      <c r="I4" s="16"/>
      <c r="J4" s="16"/>
    </row>
    <row r="5" spans="1:10">
      <c r="A5" s="19" t="s">
        <v>39</v>
      </c>
      <c r="B5" s="17" t="s">
        <v>56</v>
      </c>
      <c r="C5" s="16"/>
      <c r="D5" s="16"/>
      <c r="E5" s="16"/>
      <c r="F5" s="16"/>
      <c r="G5" s="16"/>
      <c r="H5" s="16"/>
      <c r="I5" s="16"/>
      <c r="J5" s="16"/>
    </row>
    <row r="6" spans="1:10">
      <c r="A6" s="19" t="s">
        <v>43</v>
      </c>
      <c r="B6" s="17" t="s">
        <v>57</v>
      </c>
      <c r="C6" s="16"/>
      <c r="D6" s="16"/>
      <c r="E6" s="16"/>
      <c r="F6" s="16"/>
      <c r="G6" s="16"/>
      <c r="H6" s="16"/>
      <c r="I6" s="16"/>
      <c r="J6" s="16"/>
    </row>
    <row r="7" spans="1:10">
      <c r="A7" s="19" t="s">
        <v>45</v>
      </c>
      <c r="B7" s="17" t="s">
        <v>58</v>
      </c>
      <c r="C7" s="16"/>
      <c r="D7" s="16"/>
      <c r="E7" s="16"/>
      <c r="F7" s="16"/>
      <c r="G7" s="16"/>
      <c r="H7" s="16"/>
      <c r="I7" s="16"/>
      <c r="J7" s="16"/>
    </row>
    <row r="8" spans="1:10">
      <c r="A8" s="19" t="s">
        <v>49</v>
      </c>
      <c r="B8" s="17" t="s">
        <v>59</v>
      </c>
      <c r="C8" s="16"/>
      <c r="D8" s="16"/>
      <c r="E8" s="16"/>
      <c r="F8" s="16"/>
      <c r="G8" s="16"/>
      <c r="H8" s="16"/>
      <c r="I8" s="16"/>
      <c r="J8" s="16"/>
    </row>
    <row r="9" spans="1:10">
      <c r="A9" s="19" t="s">
        <v>51</v>
      </c>
      <c r="B9" s="17" t="s">
        <v>60</v>
      </c>
      <c r="C9" s="16"/>
      <c r="D9" s="16"/>
      <c r="E9" s="16"/>
      <c r="F9" s="16"/>
      <c r="G9" s="16"/>
      <c r="H9" s="16"/>
      <c r="I9" s="16"/>
      <c r="J9" s="16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開発費算出</vt:lpstr>
      <vt:lpstr>工程表</vt:lpstr>
      <vt:lpstr>成果物</vt:lpstr>
      <vt:lpstr>単価</vt:lpstr>
      <vt:lpstr>予備費率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宮城亮太</dc:creator>
  <cp:lastModifiedBy>宮城亮太</cp:lastModifiedBy>
  <dcterms:created xsi:type="dcterms:W3CDTF">2026-04-26T06:57:40Z</dcterms:created>
  <dcterms:modified xsi:type="dcterms:W3CDTF">2026-04-26T08:09:41Z</dcterms:modified>
</cp:coreProperties>
</file>