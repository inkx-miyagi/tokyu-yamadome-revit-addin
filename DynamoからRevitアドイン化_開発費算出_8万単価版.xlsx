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yagi\Documents\New project\"/>
    </mc:Choice>
  </mc:AlternateContent>
  <xr:revisionPtr revIDLastSave="0" documentId="13_ncr:1_{D1C30128-52E0-4077-8C5B-901BF812D589}" xr6:coauthVersionLast="47" xr6:coauthVersionMax="47" xr10:uidLastSave="{00000000-0000-0000-0000-000000000000}"/>
  <bookViews>
    <workbookView xWindow="20100" yWindow="3165" windowWidth="16470" windowHeight="16740" xr2:uid="{02B1A013-F39F-4A19-8E2C-EFCAFE9AEC20}"/>
  </bookViews>
  <sheets>
    <sheet name="開発費算出" sheetId="3" r:id="rId1"/>
  </sheets>
  <definedNames>
    <definedName name="単価">開発費算出!$B$3</definedName>
    <definedName name="予備費率">開発費算出!$B$4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3" l="1"/>
  <c r="E20" i="3" s="1"/>
  <c r="D19" i="3"/>
  <c r="E19" i="3" s="1"/>
  <c r="D18" i="3"/>
  <c r="E18" i="3" s="1"/>
  <c r="D17" i="3"/>
  <c r="E17" i="3" s="1"/>
  <c r="D15" i="3"/>
  <c r="E15" i="3" s="1"/>
  <c r="D16" i="3"/>
  <c r="E16" i="3" s="1"/>
  <c r="D14" i="3"/>
  <c r="E14" i="3" s="1"/>
  <c r="D13" i="3"/>
  <c r="E13" i="3" s="1"/>
  <c r="D12" i="3"/>
  <c r="E12" i="3" s="1"/>
  <c r="D11" i="3"/>
  <c r="E11" i="3" s="1"/>
  <c r="C21" i="3"/>
  <c r="B26" i="3" s="1"/>
  <c r="B27" i="3" s="1"/>
  <c r="E21" i="3" l="1"/>
  <c r="C26" i="3" s="1"/>
  <c r="C27" i="3" s="1"/>
  <c r="B28" i="3"/>
  <c r="C28" i="3" l="1"/>
</calcChain>
</file>

<file path=xl/sharedStrings.xml><?xml version="1.0" encoding="utf-8"?>
<sst xmlns="http://schemas.openxmlformats.org/spreadsheetml/2006/main" count="40" uniqueCount="34">
  <si>
    <t>積算条件</t>
  </si>
  <si>
    <t>単価</t>
  </si>
  <si>
    <t>仕様調整・検証予備費</t>
  </si>
  <si>
    <t>金額</t>
  </si>
  <si>
    <t>工程</t>
  </si>
  <si>
    <t>期間目安</t>
  </si>
  <si>
    <t>想定人工</t>
  </si>
  <si>
    <t>事前調査・仕様整理</t>
  </si>
  <si>
    <t>2週間</t>
  </si>
  <si>
    <t>アドイン基盤構築</t>
  </si>
  <si>
    <t>3週間</t>
  </si>
  <si>
    <t>初期設定・表示設定</t>
  </si>
  <si>
    <t>掘削基本機能</t>
  </si>
  <si>
    <t>4週間</t>
  </si>
  <si>
    <t>山留め部材作成系</t>
  </si>
  <si>
    <t>6週間</t>
  </si>
  <si>
    <t>調整・構台・埋戻し系</t>
  </si>
  <si>
    <t>集計機能</t>
  </si>
  <si>
    <t>図面化機能</t>
  </si>
  <si>
    <t>5週間</t>
  </si>
  <si>
    <t>総合検証・不具合修正</t>
  </si>
  <si>
    <t>マニュアル・納品準備</t>
  </si>
  <si>
    <t>合計</t>
  </si>
  <si>
    <t>提示額案</t>
  </si>
  <si>
    <t>区分</t>
  </si>
  <si>
    <t>人工</t>
  </si>
  <si>
    <t>開発費</t>
  </si>
  <si>
    <t>合計提示額</t>
  </si>
  <si>
    <t>単価(円 / 人工)</t>
    <phoneticPr fontId="1"/>
  </si>
  <si>
    <t>予備費率(仕様調整・検証予備費)</t>
    <phoneticPr fontId="1"/>
  </si>
  <si>
    <t>対象(既存Dynamo一式のRevitアドイン化)</t>
    <phoneticPr fontId="1"/>
  </si>
  <si>
    <t>対象(Revit 2023想定)</t>
    <phoneticPr fontId="1"/>
  </si>
  <si>
    <t>金額(税別)</t>
    <phoneticPr fontId="1"/>
  </si>
  <si>
    <t>DynamoからRevitアドイン化 開発費算出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</si>
</sst>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&quot;円&quot;"/>
    <numFmt numFmtId="177" formatCode="0.0&quot;人&quot;&quot;工&quot;"/>
  </numFmts>
  <fonts count="4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0"/>
      <color theme="1"/>
      <name val="Yu Gothic"/>
      <family val="3"/>
      <charset val="128"/>
    </font>
    <font>
      <b/>
      <sz val="10"/>
      <color theme="1"/>
      <name val="Yu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176" fontId="2" fillId="2" borderId="1" xfId="0" applyNumberFormat="1" applyFont="1" applyFill="1" applyBorder="1">
      <alignment vertical="center"/>
    </xf>
    <xf numFmtId="9" fontId="2" fillId="2" borderId="1" xfId="0" applyNumberFormat="1" applyFont="1" applyFill="1" applyBorder="1">
      <alignment vertical="center"/>
    </xf>
    <xf numFmtId="177" fontId="2" fillId="0" borderId="1" xfId="0" applyNumberFormat="1" applyFont="1" applyBorder="1">
      <alignment vertical="center"/>
    </xf>
    <xf numFmtId="176" fontId="2" fillId="0" borderId="1" xfId="0" applyNumberFormat="1" applyFont="1" applyBorder="1">
      <alignment vertical="center"/>
    </xf>
    <xf numFmtId="177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0" fontId="3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0B5DD-DE90-41B8-8E45-44C59D687F0D}">
  <dimension ref="A1:E28"/>
  <sheetViews>
    <sheetView tabSelected="1" workbookViewId="0">
      <selection sqref="A1:E1"/>
    </sheetView>
  </sheetViews>
  <sheetFormatPr defaultRowHeight="18.75"/>
  <cols>
    <col min="1" max="1" width="32.625" customWidth="1"/>
    <col min="2" max="5" width="12.625" customWidth="1"/>
  </cols>
  <sheetData>
    <row r="1" spans="1:5">
      <c r="A1" s="11" t="s">
        <v>33</v>
      </c>
      <c r="B1" s="12"/>
      <c r="C1" s="12"/>
      <c r="D1" s="12"/>
      <c r="E1" s="12"/>
    </row>
    <row r="2" spans="1:5">
      <c r="A2" s="2" t="s">
        <v>0</v>
      </c>
      <c r="B2" s="1"/>
      <c r="C2" s="1"/>
      <c r="D2" s="1"/>
      <c r="E2" s="1"/>
    </row>
    <row r="3" spans="1:5">
      <c r="A3" s="1" t="s">
        <v>28</v>
      </c>
      <c r="B3" s="3">
        <v>80000</v>
      </c>
      <c r="C3" s="1"/>
      <c r="D3" s="1"/>
      <c r="E3" s="1"/>
    </row>
    <row r="4" spans="1:5">
      <c r="A4" s="1" t="s">
        <v>29</v>
      </c>
      <c r="B4" s="4">
        <v>0.1</v>
      </c>
      <c r="C4" s="1"/>
      <c r="D4" s="1"/>
      <c r="E4" s="1"/>
    </row>
    <row r="5" spans="1:5">
      <c r="A5" s="1" t="s">
        <v>30</v>
      </c>
      <c r="B5" s="1"/>
      <c r="C5" s="1"/>
      <c r="D5" s="1"/>
      <c r="E5" s="1"/>
    </row>
    <row r="6" spans="1:5">
      <c r="A6" s="1" t="s">
        <v>31</v>
      </c>
      <c r="B6" s="1"/>
      <c r="C6" s="1"/>
      <c r="D6" s="1"/>
      <c r="E6" s="1"/>
    </row>
    <row r="7" spans="1:5">
      <c r="A7" s="1" t="s">
        <v>32</v>
      </c>
      <c r="B7" s="1"/>
      <c r="C7" s="1"/>
      <c r="D7" s="1"/>
      <c r="E7" s="1"/>
    </row>
    <row r="8" spans="1:5">
      <c r="A8" s="1"/>
      <c r="B8" s="1"/>
      <c r="C8" s="1"/>
      <c r="D8" s="1"/>
      <c r="E8" s="1"/>
    </row>
    <row r="9" spans="1:5">
      <c r="A9" s="1"/>
      <c r="B9" s="1"/>
      <c r="C9" s="1"/>
      <c r="D9" s="1"/>
      <c r="E9" s="1"/>
    </row>
    <row r="10" spans="1:5">
      <c r="A10" s="9" t="s">
        <v>4</v>
      </c>
      <c r="B10" s="10" t="s">
        <v>5</v>
      </c>
      <c r="C10" s="10" t="s">
        <v>6</v>
      </c>
      <c r="D10" s="10" t="s">
        <v>1</v>
      </c>
      <c r="E10" s="10" t="s">
        <v>3</v>
      </c>
    </row>
    <row r="11" spans="1:5">
      <c r="A11" s="1" t="s">
        <v>7</v>
      </c>
      <c r="B11" s="1" t="s">
        <v>8</v>
      </c>
      <c r="C11" s="5">
        <v>7.5</v>
      </c>
      <c r="D11" s="6">
        <f t="shared" ref="D11:D20" si="0">単価</f>
        <v>80000</v>
      </c>
      <c r="E11" s="6">
        <f t="shared" ref="E11:E20" si="1">C11*D11</f>
        <v>600000</v>
      </c>
    </row>
    <row r="12" spans="1:5">
      <c r="A12" s="1" t="s">
        <v>9</v>
      </c>
      <c r="B12" s="1" t="s">
        <v>10</v>
      </c>
      <c r="C12" s="5">
        <v>12</v>
      </c>
      <c r="D12" s="6">
        <f t="shared" si="0"/>
        <v>80000</v>
      </c>
      <c r="E12" s="6">
        <f t="shared" si="1"/>
        <v>960000</v>
      </c>
    </row>
    <row r="13" spans="1:5">
      <c r="A13" s="1" t="s">
        <v>11</v>
      </c>
      <c r="B13" s="1" t="s">
        <v>10</v>
      </c>
      <c r="C13" s="5">
        <v>15</v>
      </c>
      <c r="D13" s="6">
        <f t="shared" si="0"/>
        <v>80000</v>
      </c>
      <c r="E13" s="6">
        <f t="shared" si="1"/>
        <v>1200000</v>
      </c>
    </row>
    <row r="14" spans="1:5">
      <c r="A14" s="1" t="s">
        <v>12</v>
      </c>
      <c r="B14" s="1" t="s">
        <v>13</v>
      </c>
      <c r="C14" s="5">
        <v>20.25</v>
      </c>
      <c r="D14" s="6">
        <f t="shared" si="0"/>
        <v>80000</v>
      </c>
      <c r="E14" s="6">
        <f t="shared" si="1"/>
        <v>1620000</v>
      </c>
    </row>
    <row r="15" spans="1:5">
      <c r="A15" s="1" t="s">
        <v>14</v>
      </c>
      <c r="B15" s="1" t="s">
        <v>15</v>
      </c>
      <c r="C15" s="5">
        <v>30</v>
      </c>
      <c r="D15" s="6">
        <f t="shared" si="0"/>
        <v>80000</v>
      </c>
      <c r="E15" s="6">
        <f t="shared" si="1"/>
        <v>2400000</v>
      </c>
    </row>
    <row r="16" spans="1:5">
      <c r="A16" s="1" t="s">
        <v>16</v>
      </c>
      <c r="B16" s="1" t="s">
        <v>15</v>
      </c>
      <c r="C16" s="5">
        <v>30</v>
      </c>
      <c r="D16" s="6">
        <f t="shared" si="0"/>
        <v>80000</v>
      </c>
      <c r="E16" s="6">
        <f t="shared" si="1"/>
        <v>2400000</v>
      </c>
    </row>
    <row r="17" spans="1:5">
      <c r="A17" s="1" t="s">
        <v>17</v>
      </c>
      <c r="B17" s="1" t="s">
        <v>13</v>
      </c>
      <c r="C17" s="5">
        <v>20.25</v>
      </c>
      <c r="D17" s="6">
        <f t="shared" si="0"/>
        <v>80000</v>
      </c>
      <c r="E17" s="6">
        <f t="shared" si="1"/>
        <v>1620000</v>
      </c>
    </row>
    <row r="18" spans="1:5">
      <c r="A18" s="1" t="s">
        <v>18</v>
      </c>
      <c r="B18" s="1" t="s">
        <v>13</v>
      </c>
      <c r="C18" s="5">
        <v>18</v>
      </c>
      <c r="D18" s="6">
        <f t="shared" si="0"/>
        <v>80000</v>
      </c>
      <c r="E18" s="6">
        <f t="shared" si="1"/>
        <v>1440000</v>
      </c>
    </row>
    <row r="19" spans="1:5">
      <c r="A19" s="1" t="s">
        <v>20</v>
      </c>
      <c r="B19" s="1" t="s">
        <v>19</v>
      </c>
      <c r="C19" s="5">
        <v>22.5</v>
      </c>
      <c r="D19" s="6">
        <f t="shared" si="0"/>
        <v>80000</v>
      </c>
      <c r="E19" s="6">
        <f t="shared" si="1"/>
        <v>1800000</v>
      </c>
    </row>
    <row r="20" spans="1:5">
      <c r="A20" s="1" t="s">
        <v>21</v>
      </c>
      <c r="B20" s="1" t="s">
        <v>10</v>
      </c>
      <c r="C20" s="5">
        <v>12</v>
      </c>
      <c r="D20" s="6">
        <f t="shared" si="0"/>
        <v>80000</v>
      </c>
      <c r="E20" s="6">
        <f t="shared" si="1"/>
        <v>960000</v>
      </c>
    </row>
    <row r="21" spans="1:5">
      <c r="A21" s="2" t="s">
        <v>22</v>
      </c>
      <c r="B21" s="1"/>
      <c r="C21" s="5">
        <f>SUM(C11:C20)</f>
        <v>187.5</v>
      </c>
      <c r="D21" s="6"/>
      <c r="E21" s="6">
        <f>SUM(E11:E20)</f>
        <v>15000000</v>
      </c>
    </row>
    <row r="22" spans="1:5">
      <c r="A22" s="1"/>
      <c r="B22" s="1"/>
      <c r="C22" s="1"/>
      <c r="D22" s="1"/>
      <c r="E22" s="1"/>
    </row>
    <row r="23" spans="1:5">
      <c r="A23" s="1"/>
      <c r="B23" s="1"/>
      <c r="C23" s="1"/>
      <c r="D23" s="1"/>
      <c r="E23" s="1"/>
    </row>
    <row r="24" spans="1:5">
      <c r="A24" s="2" t="s">
        <v>23</v>
      </c>
      <c r="B24" s="1"/>
      <c r="C24" s="1"/>
      <c r="D24" s="1"/>
      <c r="E24" s="1"/>
    </row>
    <row r="25" spans="1:5">
      <c r="A25" s="9" t="s">
        <v>24</v>
      </c>
      <c r="B25" s="9" t="s">
        <v>25</v>
      </c>
      <c r="C25" s="9" t="s">
        <v>3</v>
      </c>
      <c r="D25" s="1"/>
      <c r="E25" s="1"/>
    </row>
    <row r="26" spans="1:5">
      <c r="A26" s="1" t="s">
        <v>26</v>
      </c>
      <c r="B26" s="5">
        <f>C21</f>
        <v>187.5</v>
      </c>
      <c r="C26" s="6">
        <f>E21</f>
        <v>15000000</v>
      </c>
      <c r="D26" s="1"/>
      <c r="E26" s="1"/>
    </row>
    <row r="27" spans="1:5">
      <c r="A27" s="1" t="s">
        <v>2</v>
      </c>
      <c r="B27" s="5">
        <f>B26*B4</f>
        <v>18.75</v>
      </c>
      <c r="C27" s="6">
        <f>C26*B4</f>
        <v>1500000</v>
      </c>
      <c r="D27" s="1"/>
      <c r="E27" s="1"/>
    </row>
    <row r="28" spans="1:5">
      <c r="A28" s="2" t="s">
        <v>27</v>
      </c>
      <c r="B28" s="7">
        <f>SUM(B26:B27)</f>
        <v>206.25</v>
      </c>
      <c r="C28" s="8">
        <f>SUM(C26:C27)</f>
        <v>16500000</v>
      </c>
      <c r="D28" s="1"/>
      <c r="E28" s="1"/>
    </row>
  </sheetData>
  <mergeCells count="1">
    <mergeCell ref="A1:E1"/>
  </mergeCells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開発費算出</vt:lpstr>
      <vt:lpstr>単価</vt:lpstr>
      <vt:lpstr>予備費率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宮城亮太</dc:creator>
  <cp:lastModifiedBy>宮城亮太</cp:lastModifiedBy>
  <dcterms:created xsi:type="dcterms:W3CDTF">2026-04-26T06:57:44Z</dcterms:created>
  <dcterms:modified xsi:type="dcterms:W3CDTF">2026-04-26T08:09:38Z</dcterms:modified>
</cp:coreProperties>
</file>